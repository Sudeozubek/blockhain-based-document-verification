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imeline Gantt" sheetId="2" state="visible" r:id="rId4"/>
    <sheet name="Budget 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<sst xmlns="http://schemas.openxmlformats.org/spreadsheetml/2006/main" count="188" uniqueCount="154">
  <si>
    <t xml:space="preserve">Blockchain-Based Digital Contract Verification System</t>
  </si>
  <si>
    <t xml:space="preserve">Project Management Plan  ·  Field Details</t>
  </si>
  <si>
    <t xml:space="preserve">§</t>
  </si>
  <si>
    <t xml:space="preserve">Field</t>
  </si>
  <si>
    <t xml:space="preserve">Details</t>
  </si>
  <si>
    <t xml:space="preserve">I.  Project Overview</t>
  </si>
  <si>
    <t xml:space="preserve">I</t>
  </si>
  <si>
    <t xml:space="preserve">Project Title</t>
  </si>
  <si>
    <t xml:space="preserve">Project Aim</t>
  </si>
  <si>
    <t xml:space="preserve">Ensuring document integrity via SHA-256 digital fingerprinting.</t>
  </si>
  <si>
    <t xml:space="preserve">Core Concept</t>
  </si>
  <si>
    <t xml:space="preserve">Simulating blockchain hash-chain logic for PDF contracts.</t>
  </si>
  <si>
    <t xml:space="preserve">II.  Team &amp; Roles</t>
  </si>
  <si>
    <t xml:space="preserve">II</t>
  </si>
  <si>
    <t xml:space="preserve">Project Manager</t>
  </si>
  <si>
    <t xml:space="preserve">Özge Zelal Küçük  —  Jira Management, Sprint Planning &amp; Timeline Coordination</t>
  </si>
  <si>
    <t xml:space="preserve">System Analyst</t>
  </si>
  <si>
    <t xml:space="preserve">Kevser Agdas  —  UML Design (Use Case, Class &amp; Sequence Diagrams)</t>
  </si>
  <si>
    <t xml:space="preserve">Backend Developer</t>
  </si>
  <si>
    <t xml:space="preserve">Muhammed Dönmez  —  SHA-256 Hashing Logic, Flask API &amp; Blockchain Simulation</t>
  </si>
  <si>
    <t xml:space="preserve">Frontend Developer</t>
  </si>
  <si>
    <t xml:space="preserve">Sude Özübek  —  UI Design, File Upload Interface &amp; API Integration</t>
  </si>
  <si>
    <t xml:space="preserve">QA &amp; DevOps</t>
  </si>
  <si>
    <t xml:space="preserve">Yağmur Saraçoğlu  —  GitHub Management, Pytest Testing &amp; Documentation</t>
  </si>
  <si>
    <t xml:space="preserve">III.  Timeline  (12-Week Project Plan)</t>
  </si>
  <si>
    <t xml:space="preserve">III</t>
  </si>
  <si>
    <t xml:space="preserve">Week 1</t>
  </si>
  <si>
    <t xml:space="preserve">Project Initiation — Jira setup, GitHub repo creation, role assignments, tool installation</t>
  </si>
  <si>
    <t xml:space="preserve">Week 2</t>
  </si>
  <si>
    <t xml:space="preserve">Requirements Analysis — Functional &amp; non-functional requirements, UML Use Case &amp; Class diagrams</t>
  </si>
  <si>
    <t xml:space="preserve">Week 3</t>
  </si>
  <si>
    <t xml:space="preserve">Database Design — SQLite schema (users, contracts, blocks tables), ER diagram, SQLAlchemy models</t>
  </si>
  <si>
    <t xml:space="preserve">Week 4</t>
  </si>
  <si>
    <t xml:space="preserve">Backend: Auth — User register/login endpoints, JWT token authentication, password hashing</t>
  </si>
  <si>
    <t xml:space="preserve">Week 5</t>
  </si>
  <si>
    <t xml:space="preserve">Backend: Blockchain — SHA-256 hash engine, Block class, Blockchain chain simulation, unit tests</t>
  </si>
  <si>
    <t xml:space="preserve">Week 6</t>
  </si>
  <si>
    <t xml:space="preserve">Backend: File API — PDF upload endpoint, hash generation on upload, block stored in DB</t>
  </si>
  <si>
    <t xml:space="preserve">Week 7</t>
  </si>
  <si>
    <t xml:space="preserve">Frontend: Core UI — Login/Register pages, Dashboard, PDF upload form (drag &amp; drop)</t>
  </si>
  <si>
    <t xml:space="preserve">Week 8</t>
  </si>
  <si>
    <t xml:space="preserve">System Integration — Connect frontend to backend API, CORS setup, error handling</t>
  </si>
  <si>
    <t xml:space="preserve">Week 9</t>
  </si>
  <si>
    <t xml:space="preserve">Quality Testing &amp; Bug Fixing — Pytest test cases, Postman API tests, tamper-detection tests</t>
  </si>
  <si>
    <t xml:space="preserve">Week 10</t>
  </si>
  <si>
    <t xml:space="preserve">Audit Log &amp; Dashboard — Verification history table, filter by user/date, admin view</t>
  </si>
  <si>
    <t xml:space="preserve">Week 11</t>
  </si>
  <si>
    <t xml:space="preserve">Final Documentation — Project report, API docs, UML updates, GitHub README</t>
  </si>
  <si>
    <t xml:space="preserve">Week 12</t>
  </si>
  <si>
    <t xml:space="preserve">Submission — Final GitHub push, tag release v1.0, share link with teacher on UBIS</t>
  </si>
  <si>
    <t xml:space="preserve">IV.  Budget</t>
  </si>
  <si>
    <t xml:space="preserve">IV</t>
  </si>
  <si>
    <t xml:space="preserve">Human Resources</t>
  </si>
  <si>
    <t xml:space="preserve">5 Software Engineers  ·  ~25 hrs/week each  ·  480 Total Man-Hours (12 Weeks)</t>
  </si>
  <si>
    <t xml:space="preserve">Software Tools</t>
  </si>
  <si>
    <t xml:space="preserve">Jira Cloud (Free), GitHub (Free), draw.io, PlantUML, Python hashlib, Flask, Bootstrap 5</t>
  </si>
  <si>
    <t xml:space="preserve">Hardware</t>
  </si>
  <si>
    <t xml:space="preserve">5 Development Laptops  (Existing Personal Resources — no additional cost)</t>
  </si>
  <si>
    <t xml:space="preserve">Total Cost</t>
  </si>
  <si>
    <t xml:space="preserve">$0  (Resource-based Simulation — all tools are free / open-source)</t>
  </si>
  <si>
    <t xml:space="preserve">Timeline Gantt  —  12-Week Sprint Overview</t>
  </si>
  <si>
    <t xml:space="preserve">#</t>
  </si>
  <si>
    <t xml:space="preserve">Task / Phase</t>
  </si>
  <si>
    <t xml:space="preserve">Responsible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</si>
  <si>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</si>
  <si>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</si>
  <si>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</si>
  <si>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</si>
  <si>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</si>
  <si>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</si>
  <si>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</si>
  <si>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</si>
  <si>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</si>
  <si>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</si>
  <si>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</si>
  <si>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</si>
  <si>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1</t>
  </si>
  <si>
    <t xml:space="preserve">Project Initiation &amp; Jira Setup</t>
  </si>
  <si>
    <t xml:space="preserve">Sprint 1</t>
  </si>
  <si>
    <t xml:space="preserve">2</t>
  </si>
  <si>
    <t xml:space="preserve">Requirements &amp; UML Diagrams</t>
  </si>
  <si>
    <t xml:space="preserve">3</t>
  </si>
  <si>
    <t xml:space="preserve">GitHub Repo &amp; DevOps Setup</t>
  </si>
  <si>
    <t xml:space="preserve">4</t>
  </si>
  <si>
    <t xml:space="preserve">DB Design &amp; SQLAlchemy Models</t>
  </si>
  <si>
    <t xml:space="preserve">Sprint 2</t>
  </si>
  <si>
    <t xml:space="preserve">5</t>
  </si>
  <si>
    <t xml:space="preserve">Backend: Auth (Register/Login/JWT)</t>
  </si>
  <si>
    <t xml:space="preserve">6</t>
  </si>
  <si>
    <t xml:space="preserve">Backend: SHA-256 &amp; Blockchain Class</t>
  </si>
  <si>
    <t xml:space="preserve">7</t>
  </si>
  <si>
    <t xml:space="preserve">Backend: Upload &amp; Verify API</t>
  </si>
  <si>
    <t xml:space="preserve">Sprint 3</t>
  </si>
  <si>
    <t xml:space="preserve">8</t>
  </si>
  <si>
    <t xml:space="preserve">Frontend: Login/Dashboard/Upload UI</t>
  </si>
  <si>
    <t xml:space="preserve">9</t>
  </si>
  <si>
    <t xml:space="preserve">System Integration (API ↔ UI)</t>
  </si>
  <si>
    <t xml:space="preserve">All Members</t>
  </si>
  <si>
    <t xml:space="preserve">10</t>
  </si>
  <si>
    <t xml:space="preserve">Testing &amp; Bug Fixing</t>
  </si>
  <si>
    <t xml:space="preserve">Sprint 4</t>
  </si>
  <si>
    <t xml:space="preserve">11</t>
  </si>
  <si>
    <t xml:space="preserve">Audit Log &amp; History Dashboard</t>
  </si>
  <si>
    <t xml:space="preserve">12</t>
  </si>
  <si>
    <t xml:space="preserve">Documentation &amp; Project Report</t>
  </si>
  <si>
    <t xml:space="preserve">13</t>
  </si>
  <si>
    <t xml:space="preserve">Final Submission &amp; GitHub Release</t>
  </si>
  <si>
    <t xml:space="preserve">Budget Planning — Resource Breakdown</t>
  </si>
  <si>
    <t xml:space="preserve">Role</t>
  </si>
  <si>
    <t xml:space="preserve">Member</t>
  </si>
  <si>
    <t xml:space="preserve">Hrs/Week</t>
  </si>
  <si>
    <t xml:space="preserve">Total (12 Wks)</t>
  </si>
  <si>
    <t xml:space="preserve">Özge Zelal Küçük</t>
  </si>
  <si>
    <t xml:space="preserve">Kevser Agdas</t>
  </si>
  <si>
    <t xml:space="preserve">Muhammed Dönmez</t>
  </si>
  <si>
    <t xml:space="preserve">Sude Özübek</t>
  </si>
  <si>
    <t xml:space="preserve">Yağmur Saraçoğlu</t>
  </si>
  <si>
    <t xml:space="preserve">TOTAL MAN-HOURS (12 Weeks)</t>
  </si>
  <si>
    <t xml:space="preserve">Software &amp; Hardware Resources</t>
  </si>
  <si>
    <t xml:space="preserve">Resource</t>
  </si>
  <si>
    <t xml:space="preserve">Purpose</t>
  </si>
  <si>
    <t xml:space="preserve">License</t>
  </si>
  <si>
    <t xml:space="preserve">Cost</t>
  </si>
  <si>
    <t xml:space="preserve">Jira Cloud (Free)</t>
  </si>
  <si>
    <t xml:space="preserve">Sprint &amp; task management</t>
  </si>
  <si>
    <t xml:space="preserve">Free ≤10 users</t>
  </si>
  <si>
    <t xml:space="preserve">$0</t>
  </si>
  <si>
    <t xml:space="preserve">GitHub (Free)</t>
  </si>
  <si>
    <t xml:space="preserve">Version control &amp; repository</t>
  </si>
  <si>
    <t xml:space="preserve">Free (public)</t>
  </si>
  <si>
    <t xml:space="preserve">draw.io</t>
  </si>
  <si>
    <t xml:space="preserve">UML diagrams</t>
  </si>
  <si>
    <t xml:space="preserve">Free (online)</t>
  </si>
  <si>
    <t xml:space="preserve">PlantUML</t>
  </si>
  <si>
    <t xml:space="preserve">Code-based UML diagrams</t>
  </si>
  <si>
    <t xml:space="preserve">Open Source</t>
  </si>
  <si>
    <t xml:space="preserve">Python 3.11</t>
  </si>
  <si>
    <t xml:space="preserve">Core backend language</t>
  </si>
  <si>
    <t xml:space="preserve">Flask</t>
  </si>
  <si>
    <t xml:space="preserve">Web API framework</t>
  </si>
  <si>
    <t xml:space="preserve">hashlib (SHA-256)</t>
  </si>
  <si>
    <t xml:space="preserve">Cryptographic hash engine</t>
  </si>
  <si>
    <t xml:space="preserve">Built-in</t>
  </si>
  <si>
    <t xml:space="preserve">SQLite</t>
  </si>
  <si>
    <t xml:space="preserve">Database engine</t>
  </si>
  <si>
    <t xml:space="preserve">Bootstrap 5</t>
  </si>
  <si>
    <t xml:space="preserve">Frontend UI framework</t>
  </si>
  <si>
    <t xml:space="preserve">pytest</t>
  </si>
  <si>
    <t xml:space="preserve">Automated testing</t>
  </si>
  <si>
    <t xml:space="preserve">5× Dev Laptops</t>
  </si>
  <si>
    <t xml:space="preserve">Existing personal hardware</t>
  </si>
  <si>
    <t xml:space="preserve">Owned</t>
  </si>
  <si>
    <t xml:space="preserve">TOTAL PROJECT COST</t>
  </si>
  <si>
    <t xml:space="preserve">$0  (Resource-based Simulation)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</si>
</sst>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6E4F0"/>
        <bgColor rgb="FFD9E1F2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C9A84C"/>
        <bgColor rgb="FFED7D31"/>
      </patternFill>
    </fill>
    <fill>
      <patternFill patternType="solid">
        <fgColor rgb="FFD9E1F2"/>
        <bgColor rgb="FFD6E4F0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E2EFDA"/>
        <bgColor rgb="FFEBF3FB"/>
      </patternFill>
    </fill>
    <fill>
      <patternFill patternType="solid">
        <fgColor rgb="FF9DC3E6"/>
        <bgColor rgb="FFBBBBBB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99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 diagonalUp="false" diagonalDown="false">
      <left style="medium">
        <color rgb="FFC9A84C"/>
      </left>
      <right/>
      <top style="medium">
        <color rgb="FFC9A84C"/>
      </top>
      <bottom style="medium">
        <color rgb="FFC9A84C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2CC"/>
      <rgbColor rgb="FFEBF3FB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DC3E6"/>
      <rgbColor rgb="FFFF99CC"/>
      <rgbColor rgb="FFCC99FF"/>
      <rgbColor rgb="FFFCE4D6"/>
      <rgbColor rgb="FF4472C4"/>
      <rgbColor rgb="FF33CCCC"/>
      <rgbColor rgb="FF99CC00"/>
      <rgbColor rgb="FFFFCC00"/>
      <rgbColor rgb="FFC9A84C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4" min="4" style="1" width="62"/>
  </cols>
  <sheetData>
    <row r="1" customFormat="false" ht="33.75" hidden="false" customHeight="true" outlineLevel="0" collapsed="false">
      <c r="B1" s="2" t="s">
        <v>0</v>
      </c>
      <c r="C1" s="2"/>
      <c r="D1" s="2"/>
    </row>
    <row r="2" customFormat="false" ht="19.5" hidden="false" customHeight="true" outlineLevel="0" collapsed="false">
      <c r="B2" s="3" t="s">
        <v>1</v>
      </c>
      <c r="C2" s="3"/>
      <c r="D2" s="3"/>
    </row>
    <row r="3" customFormat="false" ht="19.5" hidden="false" customHeight="true" outlineLevel="0" collapsed="false">
      <c r="B3" s="4" t="s">
        <v>2</v>
      </c>
      <c r="C3" s="4" t="s">
        <v>3</v>
      </c>
      <c r="D3" s="4" t="s">
        <v>4</v>
      </c>
    </row>
    <row r="4" customFormat="false" ht="21.75" hidden="false" customHeight="true" outlineLevel="0" collapsed="false">
      <c r="B4" s="5" t="s">
        <v>5</v>
      </c>
      <c r="C4" s="5"/>
      <c r="D4" s="5"/>
    </row>
    <row r="5" customFormat="false" ht="30" hidden="false" customHeight="true" outlineLevel="0" collapsed="false">
      <c r="B5" s="6" t="s">
        <v>6</v>
      </c>
      <c r="C5" s="7" t="s">
        <v>7</v>
      </c>
      <c r="D5" s="8" t="s">
        <v>0</v>
      </c>
    </row>
    <row r="6" customFormat="false" ht="30" hidden="false" customHeight="true" outlineLevel="0" collapsed="false">
      <c r="B6" s="6"/>
      <c r="C6" s="7" t="s">
        <v>8</v>
      </c>
      <c r="D6" s="9" t="s">
        <v>9</v>
      </c>
    </row>
    <row r="7" customFormat="false" ht="30" hidden="false" customHeight="true" outlineLevel="0" collapsed="false">
      <c r="B7" s="6"/>
      <c r="C7" s="7" t="s">
        <v>10</v>
      </c>
      <c r="D7" s="8" t="s">
        <v>11</v>
      </c>
    </row>
    <row r="8" customFormat="false" ht="21.75" hidden="false" customHeight="true" outlineLevel="0" collapsed="false">
      <c r="B8" s="10" t="s">
        <v>12</v>
      </c>
      <c r="C8" s="10"/>
      <c r="D8" s="10"/>
    </row>
    <row r="9" customFormat="false" ht="30" hidden="false" customHeight="true" outlineLevel="0" collapsed="false">
      <c r="B9" s="11" t="s">
        <v>13</v>
      </c>
      <c r="C9" s="7" t="s">
        <v>14</v>
      </c>
      <c r="D9" s="8" t="s">
        <v>15</v>
      </c>
    </row>
    <row r="10" customFormat="false" ht="30" hidden="false" customHeight="true" outlineLevel="0" collapsed="false">
      <c r="B10" s="11"/>
      <c r="C10" s="7" t="s">
        <v>16</v>
      </c>
      <c r="D10" s="9" t="s">
        <v>17</v>
      </c>
    </row>
    <row r="11" customFormat="false" ht="30" hidden="false" customHeight="true" outlineLevel="0" collapsed="false">
      <c r="B11" s="11"/>
      <c r="C11" s="7" t="s">
        <v>18</v>
      </c>
      <c r="D11" s="8" t="s">
        <v>19</v>
      </c>
    </row>
    <row r="12" customFormat="false" ht="30" hidden="false" customHeight="true" outlineLevel="0" collapsed="false">
      <c r="B12" s="11"/>
      <c r="C12" s="7" t="s">
        <v>20</v>
      </c>
      <c r="D12" s="9" t="s">
        <v>21</v>
      </c>
    </row>
    <row r="13" customFormat="false" ht="30" hidden="false" customHeight="true" outlineLevel="0" collapsed="false">
      <c r="B13" s="11"/>
      <c r="C13" s="7" t="s">
        <v>22</v>
      </c>
      <c r="D13" s="8" t="s">
        <v>23</v>
      </c>
    </row>
    <row r="14" customFormat="false" ht="21.75" hidden="false" customHeight="true" outlineLevel="0" collapsed="false">
      <c r="B14" s="5" t="s">
        <v>24</v>
      </c>
      <c r="C14" s="5"/>
      <c r="D14" s="5"/>
    </row>
    <row r="15" customFormat="false" ht="30" hidden="false" customHeight="true" outlineLevel="0" collapsed="false">
      <c r="B15" s="6" t="s">
        <v>25</v>
      </c>
      <c r="C15" s="7" t="s">
        <v>26</v>
      </c>
      <c r="D15" s="8" t="s">
        <v>27</v>
      </c>
    </row>
    <row r="16" customFormat="false" ht="30" hidden="false" customHeight="true" outlineLevel="0" collapsed="false">
      <c r="B16" s="6"/>
      <c r="C16" s="7" t="s">
        <v>28</v>
      </c>
      <c r="D16" s="9" t="s">
        <v>29</v>
      </c>
    </row>
    <row r="17" customFormat="false" ht="30" hidden="false" customHeight="true" outlineLevel="0" collapsed="false">
      <c r="B17" s="6"/>
      <c r="C17" s="7" t="s">
        <v>30</v>
      </c>
      <c r="D17" s="8" t="s">
        <v>31</v>
      </c>
    </row>
    <row r="18" customFormat="false" ht="30" hidden="false" customHeight="true" outlineLevel="0" collapsed="false">
      <c r="B18" s="6"/>
      <c r="C18" s="7" t="s">
        <v>32</v>
      </c>
      <c r="D18" s="9" t="s">
        <v>33</v>
      </c>
    </row>
    <row r="19" customFormat="false" ht="30" hidden="false" customHeight="true" outlineLevel="0" collapsed="false">
      <c r="B19" s="6"/>
      <c r="C19" s="7" t="s">
        <v>34</v>
      </c>
      <c r="D19" s="8" t="s">
        <v>35</v>
      </c>
    </row>
    <row r="20" customFormat="false" ht="30" hidden="false" customHeight="true" outlineLevel="0" collapsed="false">
      <c r="B20" s="6"/>
      <c r="C20" s="7" t="s">
        <v>36</v>
      </c>
      <c r="D20" s="9" t="s">
        <v>37</v>
      </c>
    </row>
    <row r="21" customFormat="false" ht="30" hidden="false" customHeight="true" outlineLevel="0" collapsed="false">
      <c r="B21" s="6"/>
      <c r="C21" s="7" t="s">
        <v>38</v>
      </c>
      <c r="D21" s="8" t="s">
        <v>39</v>
      </c>
    </row>
    <row r="22" customFormat="false" ht="30" hidden="false" customHeight="true" outlineLevel="0" collapsed="false">
      <c r="B22" s="6"/>
      <c r="C22" s="7" t="s">
        <v>40</v>
      </c>
      <c r="D22" s="9" t="s">
        <v>41</v>
      </c>
    </row>
    <row r="23" customFormat="false" ht="30" hidden="false" customHeight="true" outlineLevel="0" collapsed="false">
      <c r="B23" s="6"/>
      <c r="C23" s="7" t="s">
        <v>42</v>
      </c>
      <c r="D23" s="8" t="s">
        <v>43</v>
      </c>
    </row>
    <row r="24" customFormat="false" ht="30" hidden="false" customHeight="true" outlineLevel="0" collapsed="false">
      <c r="B24" s="6"/>
      <c r="C24" s="7" t="s">
        <v>44</v>
      </c>
      <c r="D24" s="9" t="s">
        <v>45</v>
      </c>
    </row>
    <row r="25" customFormat="false" ht="30" hidden="false" customHeight="true" outlineLevel="0" collapsed="false">
      <c r="B25" s="6"/>
      <c r="C25" s="7" t="s">
        <v>46</v>
      </c>
      <c r="D25" s="8" t="s">
        <v>47</v>
      </c>
    </row>
    <row r="26" customFormat="false" ht="30" hidden="false" customHeight="true" outlineLevel="0" collapsed="false">
      <c r="B26" s="6"/>
      <c r="C26" s="7" t="s">
        <v>48</v>
      </c>
      <c r="D26" s="9" t="s">
        <v>49</v>
      </c>
    </row>
    <row r="27" customFormat="false" ht="21.75" hidden="false" customHeight="true" outlineLevel="0" collapsed="false">
      <c r="B27" s="10" t="s">
        <v>50</v>
      </c>
      <c r="C27" s="10"/>
      <c r="D27" s="10"/>
    </row>
    <row r="28" customFormat="false" ht="30" hidden="false" customHeight="true" outlineLevel="0" collapsed="false">
      <c r="B28" s="11" t="s">
        <v>51</v>
      </c>
      <c r="C28" s="7" t="s">
        <v>52</v>
      </c>
      <c r="D28" s="8" t="s">
        <v>53</v>
      </c>
    </row>
    <row r="29" customFormat="false" ht="30" hidden="false" customHeight="true" outlineLevel="0" collapsed="false">
      <c r="B29" s="11"/>
      <c r="C29" s="7" t="s">
        <v>54</v>
      </c>
      <c r="D29" s="9" t="s">
        <v>55</v>
      </c>
    </row>
    <row r="30" customFormat="false" ht="30" hidden="false" customHeight="true" outlineLevel="0" collapsed="false">
      <c r="B30" s="11"/>
      <c r="C30" s="7" t="s">
        <v>56</v>
      </c>
      <c r="D30" s="8" t="s">
        <v>57</v>
      </c>
    </row>
    <row r="31" customFormat="false" ht="30" hidden="false" customHeight="true" outlineLevel="0" collapsed="false">
      <c r="B31" s="11"/>
      <c r="C31" s="7" t="s">
        <v>58</v>
      </c>
      <c r="D31" s="9" t="s">
        <v>59</v>
      </c>
    </row>
    <row r="32" customFormat="false" ht="4.5" hidden="false" customHeight="true" outlineLevel="0" collapsed="false">
      <c r="B32" s="12"/>
      <c r="C32" s="12"/>
      <c r="D32" s="12"/>
    </row>
  </sheetData>
  <mergeCells count="11">
    <mergeCell ref="B1:D1"/>
    <mergeCell ref="B2:D2"/>
    <mergeCell ref="B4:D4"/>
    <mergeCell ref="B5:B7"/>
    <mergeCell ref="B8:D8"/>
    <mergeCell ref="B9:B13"/>
    <mergeCell ref="B14:D14"/>
    <mergeCell ref="B15:B26"/>
    <mergeCell ref="B27:D27"/>
    <mergeCell ref="B28:B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16" min="5" style="1" width="6"/>
    <col collapsed="false" customWidth="true" hidden="false" outlineLevel="0" max="17" min="17" style="1" width="18"/>
  </cols>
  <sheetData>
    <row r="1" customFormat="false" ht="27.75" hidden="false" customHeight="true" outlineLevel="0" collapsed="false">
      <c r="B1" s="13" t="s">
        <v>60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9.5" hidden="false" customHeight="true" outlineLevel="0" collapsed="false">
      <c r="B2" s="14" t="s">
        <v>61</v>
      </c>
      <c r="C2" s="15" t="s">
        <v>62</v>
      </c>
      <c r="D2" s="15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4" t="s">
        <v>72</v>
      </c>
      <c r="N2" s="4" t="s">
        <v>73</v>
      </c>
      <c r="O2" s="4" t="s">
        <v>74</v>
      </c>
      <c r="P2" s="4" t="s">
        <v>75</v>
      </c>
    </row>
    <row r="3" customFormat="false" ht="21.75" hidden="false" customHeight="true" outlineLevel="0" collapsed="false">
      <c r="B3" s="16" t="s">
        <v>76</v>
      </c>
      <c r="C3" s="17" t="s">
        <v>77</v>
      </c>
      <c r="D3" s="18" t="s">
        <v>14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 t="s">
        <v>78</v>
      </c>
    </row>
    <row r="4" customFormat="false" ht="21.75" hidden="false" customHeight="true" outlineLevel="0" collapsed="false">
      <c r="B4" s="22" t="s">
        <v>79</v>
      </c>
      <c r="C4" s="23" t="s">
        <v>80</v>
      </c>
      <c r="D4" s="24" t="s">
        <v>16</v>
      </c>
      <c r="E4" s="25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1"/>
    </row>
    <row r="5" customFormat="false" ht="21.75" hidden="false" customHeight="true" outlineLevel="0" collapsed="false">
      <c r="B5" s="16" t="s">
        <v>81</v>
      </c>
      <c r="C5" s="17" t="s">
        <v>82</v>
      </c>
      <c r="D5" s="18" t="s">
        <v>22</v>
      </c>
      <c r="E5" s="27"/>
      <c r="F5" s="27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customFormat="false" ht="21.75" hidden="false" customHeight="true" outlineLevel="0" collapsed="false">
      <c r="B6" s="22" t="s">
        <v>83</v>
      </c>
      <c r="C6" s="23" t="s">
        <v>84</v>
      </c>
      <c r="D6" s="24" t="s">
        <v>22</v>
      </c>
      <c r="E6" s="25"/>
      <c r="F6" s="25"/>
      <c r="G6" s="28"/>
      <c r="H6" s="25"/>
      <c r="I6" s="25"/>
      <c r="J6" s="25"/>
      <c r="K6" s="25"/>
      <c r="L6" s="25"/>
      <c r="M6" s="25"/>
      <c r="N6" s="25"/>
      <c r="O6" s="25"/>
      <c r="P6" s="25"/>
      <c r="Q6" s="29" t="s">
        <v>85</v>
      </c>
    </row>
    <row r="7" customFormat="false" ht="21.75" hidden="false" customHeight="true" outlineLevel="0" collapsed="false">
      <c r="B7" s="16" t="s">
        <v>86</v>
      </c>
      <c r="C7" s="17" t="s">
        <v>87</v>
      </c>
      <c r="D7" s="18" t="s">
        <v>18</v>
      </c>
      <c r="E7" s="20"/>
      <c r="F7" s="20"/>
      <c r="G7" s="20"/>
      <c r="H7" s="30"/>
      <c r="I7" s="20"/>
      <c r="J7" s="20"/>
      <c r="K7" s="20"/>
      <c r="L7" s="20"/>
      <c r="M7" s="20"/>
      <c r="N7" s="20"/>
      <c r="O7" s="20"/>
      <c r="P7" s="20"/>
      <c r="Q7" s="29"/>
    </row>
    <row r="8" customFormat="false" ht="21.75" hidden="false" customHeight="true" outlineLevel="0" collapsed="false">
      <c r="B8" s="22" t="s">
        <v>88</v>
      </c>
      <c r="C8" s="23" t="s">
        <v>89</v>
      </c>
      <c r="D8" s="24" t="s">
        <v>18</v>
      </c>
      <c r="E8" s="25"/>
      <c r="F8" s="25"/>
      <c r="G8" s="25"/>
      <c r="H8" s="25"/>
      <c r="I8" s="19"/>
      <c r="J8" s="25"/>
      <c r="K8" s="25"/>
      <c r="L8" s="25"/>
      <c r="M8" s="25"/>
      <c r="N8" s="25"/>
      <c r="O8" s="25"/>
      <c r="P8" s="25"/>
      <c r="Q8" s="29"/>
    </row>
    <row r="9" customFormat="false" ht="21.75" hidden="false" customHeight="true" outlineLevel="0" collapsed="false">
      <c r="B9" s="16" t="s">
        <v>90</v>
      </c>
      <c r="C9" s="17" t="s">
        <v>91</v>
      </c>
      <c r="D9" s="18" t="s">
        <v>18</v>
      </c>
      <c r="E9" s="20"/>
      <c r="F9" s="20"/>
      <c r="G9" s="20"/>
      <c r="H9" s="20"/>
      <c r="I9" s="20"/>
      <c r="J9" s="26"/>
      <c r="K9" s="20"/>
      <c r="L9" s="20"/>
      <c r="M9" s="20"/>
      <c r="N9" s="20"/>
      <c r="O9" s="20"/>
      <c r="P9" s="20"/>
      <c r="Q9" s="31" t="s">
        <v>92</v>
      </c>
    </row>
    <row r="10" customFormat="false" ht="21.75" hidden="false" customHeight="true" outlineLevel="0" collapsed="false">
      <c r="B10" s="22" t="s">
        <v>93</v>
      </c>
      <c r="C10" s="23" t="s">
        <v>94</v>
      </c>
      <c r="D10" s="24" t="s">
        <v>20</v>
      </c>
      <c r="E10" s="25"/>
      <c r="F10" s="25"/>
      <c r="G10" s="25"/>
      <c r="H10" s="25"/>
      <c r="I10" s="25"/>
      <c r="J10" s="25"/>
      <c r="K10" s="27"/>
      <c r="L10" s="25"/>
      <c r="M10" s="25"/>
      <c r="N10" s="25"/>
      <c r="O10" s="25"/>
      <c r="P10" s="25"/>
      <c r="Q10" s="31"/>
    </row>
    <row r="11" customFormat="false" ht="21.75" hidden="false" customHeight="true" outlineLevel="0" collapsed="false">
      <c r="B11" s="16" t="s">
        <v>95</v>
      </c>
      <c r="C11" s="17" t="s">
        <v>96</v>
      </c>
      <c r="D11" s="18" t="s">
        <v>97</v>
      </c>
      <c r="E11" s="20"/>
      <c r="F11" s="20"/>
      <c r="G11" s="20"/>
      <c r="H11" s="20"/>
      <c r="I11" s="20"/>
      <c r="J11" s="20"/>
      <c r="K11" s="20"/>
      <c r="L11" s="28"/>
      <c r="M11" s="20"/>
      <c r="N11" s="20"/>
      <c r="O11" s="20"/>
      <c r="P11" s="20"/>
      <c r="Q11" s="31"/>
    </row>
    <row r="12" customFormat="false" ht="21.75" hidden="false" customHeight="true" outlineLevel="0" collapsed="false">
      <c r="B12" s="22" t="s">
        <v>98</v>
      </c>
      <c r="C12" s="23" t="s">
        <v>99</v>
      </c>
      <c r="D12" s="24" t="s">
        <v>22</v>
      </c>
      <c r="E12" s="25"/>
      <c r="F12" s="25"/>
      <c r="G12" s="25"/>
      <c r="H12" s="25"/>
      <c r="I12" s="25"/>
      <c r="J12" s="25"/>
      <c r="K12" s="25"/>
      <c r="L12" s="25"/>
      <c r="M12" s="32"/>
      <c r="N12" s="25"/>
      <c r="O12" s="25"/>
      <c r="P12" s="25"/>
      <c r="Q12" s="33" t="s">
        <v>100</v>
      </c>
    </row>
    <row r="13" customFormat="false" ht="21.75" hidden="false" customHeight="true" outlineLevel="0" collapsed="false">
      <c r="B13" s="16" t="s">
        <v>101</v>
      </c>
      <c r="C13" s="17" t="s">
        <v>102</v>
      </c>
      <c r="D13" s="18" t="s">
        <v>20</v>
      </c>
      <c r="E13" s="20"/>
      <c r="F13" s="20"/>
      <c r="G13" s="20"/>
      <c r="H13" s="20"/>
      <c r="I13" s="20"/>
      <c r="J13" s="20"/>
      <c r="K13" s="20"/>
      <c r="L13" s="20"/>
      <c r="M13" s="20"/>
      <c r="N13" s="34"/>
      <c r="O13" s="20"/>
      <c r="P13" s="20"/>
      <c r="Q13" s="33"/>
    </row>
    <row r="14" customFormat="false" ht="21.75" hidden="false" customHeight="true" outlineLevel="0" collapsed="false">
      <c r="B14" s="22" t="s">
        <v>103</v>
      </c>
      <c r="C14" s="23" t="s">
        <v>104</v>
      </c>
      <c r="D14" s="24" t="s">
        <v>16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35"/>
      <c r="P14" s="25"/>
      <c r="Q14" s="33"/>
    </row>
    <row r="15" customFormat="false" ht="21.75" hidden="false" customHeight="true" outlineLevel="0" collapsed="false">
      <c r="B15" s="16" t="s">
        <v>105</v>
      </c>
      <c r="C15" s="17" t="s">
        <v>106</v>
      </c>
      <c r="D15" s="18" t="s">
        <v>14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36"/>
    </row>
  </sheetData>
  <mergeCells count="5">
    <mergeCell ref="B1:P1"/>
    <mergeCell ref="Q3:Q5"/>
    <mergeCell ref="Q6:Q8"/>
    <mergeCell ref="Q9:Q11"/>
    <mergeCell ref="Q12:Q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8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27.75" hidden="false" customHeight="true" outlineLevel="0" collapsed="false">
      <c r="B1" s="37" t="s">
        <v>107</v>
      </c>
      <c r="C1" s="37"/>
      <c r="D1" s="37"/>
      <c r="E1" s="37"/>
    </row>
    <row r="2" customFormat="false" ht="21.75" hidden="false" customHeight="true" outlineLevel="0" collapsed="false">
      <c r="B2" s="10" t="s">
        <v>52</v>
      </c>
      <c r="C2" s="10"/>
      <c r="D2" s="10"/>
      <c r="E2" s="10"/>
    </row>
    <row r="3" customFormat="false" ht="19.5" hidden="false" customHeight="true" outlineLevel="0" collapsed="false">
      <c r="B3" s="4" t="s">
        <v>108</v>
      </c>
      <c r="C3" s="4" t="s">
        <v>109</v>
      </c>
      <c r="D3" s="4" t="s">
        <v>110</v>
      </c>
      <c r="E3" s="4" t="s">
        <v>111</v>
      </c>
    </row>
    <row r="4" customFormat="false" ht="21.75" hidden="false" customHeight="true" outlineLevel="0" collapsed="false">
      <c r="B4" s="38" t="s">
        <v>14</v>
      </c>
      <c r="C4" s="25" t="s">
        <v>112</v>
      </c>
      <c r="D4" s="39" t="n">
        <v>10</v>
      </c>
      <c r="E4" s="40" t="n">
        <f aca="false">D4*12</f>
        <v>120</v>
      </c>
    </row>
    <row r="5" customFormat="false" ht="21.75" hidden="false" customHeight="true" outlineLevel="0" collapsed="false">
      <c r="B5" s="41" t="s">
        <v>16</v>
      </c>
      <c r="C5" s="20" t="s">
        <v>113</v>
      </c>
      <c r="D5" s="42" t="n">
        <v>10</v>
      </c>
      <c r="E5" s="43" t="n">
        <f aca="false">D5*12</f>
        <v>120</v>
      </c>
    </row>
    <row r="6" customFormat="false" ht="21.75" hidden="false" customHeight="true" outlineLevel="0" collapsed="false">
      <c r="B6" s="38" t="s">
        <v>18</v>
      </c>
      <c r="C6" s="25" t="s">
        <v>114</v>
      </c>
      <c r="D6" s="39" t="n">
        <v>10</v>
      </c>
      <c r="E6" s="40" t="n">
        <f aca="false">D6*12</f>
        <v>120</v>
      </c>
    </row>
    <row r="7" customFormat="false" ht="21.75" hidden="false" customHeight="true" outlineLevel="0" collapsed="false">
      <c r="B7" s="41" t="s">
        <v>20</v>
      </c>
      <c r="C7" s="20" t="s">
        <v>115</v>
      </c>
      <c r="D7" s="42" t="n">
        <v>10</v>
      </c>
      <c r="E7" s="43" t="n">
        <f aca="false">D7*12</f>
        <v>120</v>
      </c>
    </row>
    <row r="8" customFormat="false" ht="21.75" hidden="false" customHeight="true" outlineLevel="0" collapsed="false">
      <c r="B8" s="38" t="s">
        <v>22</v>
      </c>
      <c r="C8" s="25" t="s">
        <v>116</v>
      </c>
      <c r="D8" s="39" t="n">
        <v>10</v>
      </c>
      <c r="E8" s="40" t="n">
        <f aca="false">D8*12</f>
        <v>120</v>
      </c>
    </row>
    <row r="9" customFormat="false" ht="24" hidden="false" customHeight="true" outlineLevel="0" collapsed="false">
      <c r="B9" s="44" t="s">
        <v>117</v>
      </c>
      <c r="C9" s="44"/>
      <c r="D9" s="44"/>
      <c r="E9" s="45" t="n">
        <f aca="false">SUM(E4:E8)</f>
        <v>600</v>
      </c>
    </row>
    <row r="11" customFormat="false" ht="21.75" hidden="false" customHeight="true" outlineLevel="0" collapsed="false">
      <c r="B11" s="10" t="s">
        <v>118</v>
      </c>
      <c r="C11" s="10"/>
      <c r="D11" s="10"/>
      <c r="E11" s="10"/>
    </row>
    <row r="12" customFormat="false" ht="19.5" hidden="false" customHeight="true" outlineLevel="0" collapsed="false">
      <c r="B12" s="4" t="s">
        <v>119</v>
      </c>
      <c r="C12" s="4" t="s">
        <v>120</v>
      </c>
      <c r="D12" s="4" t="s">
        <v>121</v>
      </c>
      <c r="E12" s="4" t="s">
        <v>122</v>
      </c>
    </row>
    <row r="13" customFormat="false" ht="21.75" hidden="false" customHeight="true" outlineLevel="0" collapsed="false">
      <c r="B13" s="38" t="s">
        <v>123</v>
      </c>
      <c r="C13" s="25" t="s">
        <v>124</v>
      </c>
      <c r="D13" s="25" t="s">
        <v>125</v>
      </c>
      <c r="E13" s="46" t="s">
        <v>126</v>
      </c>
    </row>
    <row r="14" customFormat="false" ht="21.75" hidden="false" customHeight="true" outlineLevel="0" collapsed="false">
      <c r="B14" s="41" t="s">
        <v>127</v>
      </c>
      <c r="C14" s="20" t="s">
        <v>128</v>
      </c>
      <c r="D14" s="20" t="s">
        <v>129</v>
      </c>
      <c r="E14" s="47" t="s">
        <v>126</v>
      </c>
    </row>
    <row r="15" customFormat="false" ht="21.75" hidden="false" customHeight="true" outlineLevel="0" collapsed="false">
      <c r="B15" s="38" t="s">
        <v>130</v>
      </c>
      <c r="C15" s="25" t="s">
        <v>131</v>
      </c>
      <c r="D15" s="25" t="s">
        <v>132</v>
      </c>
      <c r="E15" s="46" t="s">
        <v>126</v>
      </c>
    </row>
    <row r="16" customFormat="false" ht="21.75" hidden="false" customHeight="true" outlineLevel="0" collapsed="false">
      <c r="B16" s="41" t="s">
        <v>133</v>
      </c>
      <c r="C16" s="20" t="s">
        <v>134</v>
      </c>
      <c r="D16" s="20" t="s">
        <v>135</v>
      </c>
      <c r="E16" s="47" t="s">
        <v>126</v>
      </c>
    </row>
    <row r="17" customFormat="false" ht="21.75" hidden="false" customHeight="true" outlineLevel="0" collapsed="false">
      <c r="B17" s="38" t="s">
        <v>136</v>
      </c>
      <c r="C17" s="25" t="s">
        <v>137</v>
      </c>
      <c r="D17" s="25" t="s">
        <v>135</v>
      </c>
      <c r="E17" s="46" t="s">
        <v>126</v>
      </c>
    </row>
    <row r="18" customFormat="false" ht="21.75" hidden="false" customHeight="true" outlineLevel="0" collapsed="false">
      <c r="B18" s="41" t="s">
        <v>138</v>
      </c>
      <c r="C18" s="20" t="s">
        <v>139</v>
      </c>
      <c r="D18" s="20" t="s">
        <v>135</v>
      </c>
      <c r="E18" s="47" t="s">
        <v>126</v>
      </c>
    </row>
    <row r="19" customFormat="false" ht="21.75" hidden="false" customHeight="true" outlineLevel="0" collapsed="false">
      <c r="B19" s="38" t="s">
        <v>140</v>
      </c>
      <c r="C19" s="25" t="s">
        <v>141</v>
      </c>
      <c r="D19" s="25" t="s">
        <v>142</v>
      </c>
      <c r="E19" s="46" t="s">
        <v>126</v>
      </c>
    </row>
    <row r="20" customFormat="false" ht="21.75" hidden="false" customHeight="true" outlineLevel="0" collapsed="false">
      <c r="B20" s="41" t="s">
        <v>143</v>
      </c>
      <c r="C20" s="20" t="s">
        <v>144</v>
      </c>
      <c r="D20" s="20" t="s">
        <v>142</v>
      </c>
      <c r="E20" s="47" t="s">
        <v>126</v>
      </c>
    </row>
    <row r="21" customFormat="false" ht="21.75" hidden="false" customHeight="true" outlineLevel="0" collapsed="false">
      <c r="B21" s="38" t="s">
        <v>145</v>
      </c>
      <c r="C21" s="25" t="s">
        <v>146</v>
      </c>
      <c r="D21" s="25" t="s">
        <v>135</v>
      </c>
      <c r="E21" s="46" t="s">
        <v>126</v>
      </c>
    </row>
    <row r="22" customFormat="false" ht="21.75" hidden="false" customHeight="true" outlineLevel="0" collapsed="false">
      <c r="B22" s="41" t="s">
        <v>147</v>
      </c>
      <c r="C22" s="20" t="s">
        <v>148</v>
      </c>
      <c r="D22" s="20" t="s">
        <v>135</v>
      </c>
      <c r="E22" s="47" t="s">
        <v>126</v>
      </c>
    </row>
    <row r="23" customFormat="false" ht="21.75" hidden="false" customHeight="true" outlineLevel="0" collapsed="false">
      <c r="B23" s="38" t="s">
        <v>149</v>
      </c>
      <c r="C23" s="25" t="s">
        <v>150</v>
      </c>
      <c r="D23" s="25" t="s">
        <v>151</v>
      </c>
      <c r="E23" s="46" t="s">
        <v>126</v>
      </c>
    </row>
    <row r="24" customFormat="false" ht="24" hidden="false" customHeight="true" outlineLevel="0" collapsed="false">
      <c r="B24" s="48" t="s">
        <v>152</v>
      </c>
      <c r="C24" s="48"/>
      <c r="D24" s="48"/>
      <c r="E24" s="49" t="s">
        <v>153</v>
      </c>
    </row>
  </sheetData>
  <mergeCells count="5">
    <mergeCell ref="B1:E1"/>
    <mergeCell ref="B2:E2"/>
    <mergeCell ref="B9:D9"/>
    <mergeCell ref="B11:E11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2026-02-19T12:51:48Z</dcterms:created>
  <dc:creator>openpyxl</dc:creator>
  <dc:description/>
  <dc:language>en-US</dc:language>
  <cp:lastModifiedBy/>
  <dcterms:modified xsi:type="dcterms:W3CDTF">2026-02-19T15:28:40Z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